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wonsohn/Documents/Projects/hybrid_modeling/modeling data/"/>
    </mc:Choice>
  </mc:AlternateContent>
  <xr:revisionPtr revIDLastSave="0" documentId="13_ncr:1_{076C5240-E206-0241-BBE1-9C7284D3B8AD}" xr6:coauthVersionLast="47" xr6:coauthVersionMax="47" xr10:uidLastSave="{00000000-0000-0000-0000-000000000000}"/>
  <bookViews>
    <workbookView xWindow="4280" yWindow="22340" windowWidth="29400" windowHeight="16840" xr2:uid="{0B1BCC1D-CD04-4B4C-A860-F008A7BCF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<sst xmlns="http://schemas.openxmlformats.org/spreadsheetml/2006/main" count="58" uniqueCount="16">
  <si>
    <t>Temperature (K)</t>
  </si>
  <si>
    <t>Pressure (MPa)</t>
  </si>
  <si>
    <t>Density (kg/m3)</t>
  </si>
  <si>
    <t>type</t>
  </si>
  <si>
    <t>water</t>
  </si>
  <si>
    <t>Surf. Tension (N/m=kg/s^2)</t>
  </si>
  <si>
    <t>Saturation curve properties, isobaric, 280~350K, Increment 5K, NIST(2025)</t>
  </si>
  <si>
    <t>hexane</t>
  </si>
  <si>
    <t>ammonia</t>
  </si>
  <si>
    <t>Dynamic Viscosity (Pa*s=kg/m*s)</t>
  </si>
  <si>
    <t>Kinematic Viscosity</t>
  </si>
  <si>
    <t xml:space="preserve">Honey, glycerin, </t>
  </si>
  <si>
    <t>10^-3</t>
  </si>
  <si>
    <t>3/300</t>
  </si>
  <si>
    <t>10^-7</t>
  </si>
  <si>
    <t>100세트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</si>
</sst>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7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11" fontId="3" fillId="0" borderId="0" xfId="0" applyNumberFormat="1" applyFont="1"/>
    <xf numFmtId="0" fontId="0" fillId="0" borderId="0" xfId="0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18D2-C6A4-134E-A57E-E22F606A77BD}">
  <dimension ref="A1:O56"/>
  <sheetViews>
    <sheetView tabSelected="1" workbookViewId="0">
      <selection activeCell="F24" sqref="F24"/>
    </sheetView>
  </sheetViews>
  <sheetFormatPr baseColWidth="10" defaultRowHeight="16" x14ac:dyDescent="0.2"/>
  <cols>
    <col min="2" max="2" width="16" bestFit="1" customWidth="1"/>
    <col min="3" max="4" width="15.33203125" bestFit="1" customWidth="1"/>
    <col min="5" max="5" width="31.83203125" bestFit="1" customWidth="1"/>
    <col min="6" max="6" width="26" bestFit="1" customWidth="1"/>
    <col min="7" max="7" width="18.83203125" bestFit="1" customWidth="1"/>
    <col min="8" max="9" width="15.33203125" bestFit="1" customWidth="1"/>
    <col min="10" max="10" width="18.83203125" bestFit="1" customWidth="1"/>
  </cols>
  <sheetData>
    <row r="1" spans="1:10" x14ac:dyDescent="0.2">
      <c r="A1" s="3" t="s">
        <v>3</v>
      </c>
      <c r="B1" s="4" t="s">
        <v>0</v>
      </c>
      <c r="C1" s="4" t="s">
        <v>1</v>
      </c>
      <c r="D1" s="4" t="s">
        <v>2</v>
      </c>
      <c r="E1" s="4" t="s">
        <v>9</v>
      </c>
      <c r="F1" s="4" t="s">
        <v>5</v>
      </c>
      <c r="G1" s="4" t="s">
        <v>10</v>
      </c>
      <c r="H1" t="s">
        <v>6</v>
      </c>
      <c r="I1" s="2"/>
      <c r="J1" s="2"/>
    </row>
    <row r="2" spans="1:10" x14ac:dyDescent="0.2">
      <c r="A2" t="s">
        <v>4</v>
      </c>
      <c r="B2" s="2">
        <v>280</v>
      </c>
      <c r="C2" s="2">
        <v>9.9182000000000003E-4</v>
      </c>
      <c r="D2" s="2">
        <v>999.86</v>
      </c>
      <c r="E2" s="2">
        <v>1.4337E-3</v>
      </c>
      <c r="F2" s="2">
        <v>7.4676999999999993E-2</v>
      </c>
      <c r="G2">
        <f>E2/D2</f>
        <v>1.4339007461044545E-6</v>
      </c>
    </row>
    <row r="3" spans="1:10" x14ac:dyDescent="0.2">
      <c r="A3" t="s">
        <v>4</v>
      </c>
      <c r="B3" s="2">
        <v>285</v>
      </c>
      <c r="C3" s="2">
        <v>1.389E-3</v>
      </c>
      <c r="D3" s="2">
        <v>999.47</v>
      </c>
      <c r="E3" s="2">
        <v>1.2393E-3</v>
      </c>
      <c r="F3" s="2">
        <v>7.3951000000000003E-2</v>
      </c>
      <c r="G3">
        <f t="shared" ref="G3:G46" si="0">E3/D3</f>
        <v>1.2399571773039711E-6</v>
      </c>
    </row>
    <row r="4" spans="1:10" x14ac:dyDescent="0.2">
      <c r="A4" t="s">
        <v>4</v>
      </c>
      <c r="B4" s="2">
        <v>290</v>
      </c>
      <c r="C4" s="2">
        <v>1.92E-3</v>
      </c>
      <c r="D4" s="2">
        <v>998.76</v>
      </c>
      <c r="E4" s="2">
        <v>1.0839999999999999E-3</v>
      </c>
      <c r="F4" s="2">
        <v>7.3209999999999997E-2</v>
      </c>
      <c r="G4">
        <f t="shared" si="0"/>
        <v>1.0853458288277462E-6</v>
      </c>
    </row>
    <row r="5" spans="1:10" x14ac:dyDescent="0.2">
      <c r="A5" t="s">
        <v>4</v>
      </c>
      <c r="B5" s="2">
        <v>295</v>
      </c>
      <c r="C5" s="2">
        <v>2.6212000000000002E-3</v>
      </c>
      <c r="D5" s="2">
        <v>997.76</v>
      </c>
      <c r="E5" s="2">
        <v>9.5783000000000001E-4</v>
      </c>
      <c r="F5" s="2">
        <v>7.2455000000000006E-2</v>
      </c>
      <c r="G5">
        <f t="shared" si="0"/>
        <v>9.5998035599743436E-7</v>
      </c>
    </row>
    <row r="6" spans="1:10" x14ac:dyDescent="0.2">
      <c r="A6" t="s">
        <v>4</v>
      </c>
      <c r="B6" s="2">
        <v>300</v>
      </c>
      <c r="C6" s="2">
        <v>3.5368000000000001E-3</v>
      </c>
      <c r="D6" s="2">
        <v>996.51</v>
      </c>
      <c r="E6" s="2">
        <v>8.5375000000000002E-4</v>
      </c>
      <c r="F6" s="2">
        <v>7.1686E-2</v>
      </c>
      <c r="G6">
        <f t="shared" si="0"/>
        <v>8.5674002267915028E-7</v>
      </c>
    </row>
    <row r="7" spans="1:10" x14ac:dyDescent="0.2">
      <c r="A7" t="s">
        <v>4</v>
      </c>
      <c r="B7" s="2">
        <v>305</v>
      </c>
      <c r="C7" s="2">
        <v>4.7193000000000001E-3</v>
      </c>
      <c r="D7" s="2">
        <v>995.03</v>
      </c>
      <c r="E7" s="2">
        <v>7.6679000000000005E-4</v>
      </c>
      <c r="F7" s="2">
        <v>7.0902999999999994E-2</v>
      </c>
      <c r="G7">
        <f t="shared" si="0"/>
        <v>7.7061998130709639E-7</v>
      </c>
    </row>
    <row r="8" spans="1:10" x14ac:dyDescent="0.2">
      <c r="A8" t="s">
        <v>4</v>
      </c>
      <c r="B8" s="2">
        <v>310</v>
      </c>
      <c r="C8" s="2">
        <v>6.2310999999999998E-3</v>
      </c>
      <c r="D8" s="2">
        <v>993.34</v>
      </c>
      <c r="E8" s="2">
        <v>6.9331999999999998E-4</v>
      </c>
      <c r="F8" s="2">
        <v>7.0106000000000002E-2</v>
      </c>
      <c r="G8">
        <f t="shared" si="0"/>
        <v>6.9796847001026837E-7</v>
      </c>
    </row>
    <row r="9" spans="1:10" x14ac:dyDescent="0.2">
      <c r="A9" t="s">
        <v>4</v>
      </c>
      <c r="B9" s="2">
        <v>315</v>
      </c>
      <c r="C9" s="2">
        <v>8.1451000000000006E-3</v>
      </c>
      <c r="D9" s="2">
        <v>991.46</v>
      </c>
      <c r="E9" s="2">
        <v>6.3064000000000002E-4</v>
      </c>
      <c r="F9" s="2">
        <v>6.9294999999999995E-2</v>
      </c>
      <c r="G9">
        <f t="shared" si="0"/>
        <v>6.3607205535271214E-7</v>
      </c>
    </row>
    <row r="10" spans="1:10" x14ac:dyDescent="0.2">
      <c r="A10" t="s">
        <v>4</v>
      </c>
      <c r="B10" s="2">
        <v>320</v>
      </c>
      <c r="C10" s="2">
        <v>1.0546E-2</v>
      </c>
      <c r="D10" s="2">
        <v>989.39</v>
      </c>
      <c r="E10" s="2">
        <v>5.7671000000000003E-4</v>
      </c>
      <c r="F10" s="2">
        <v>6.8470000000000003E-2</v>
      </c>
      <c r="G10">
        <f t="shared" si="0"/>
        <v>5.8289451075915471E-7</v>
      </c>
    </row>
    <row r="11" spans="1:10" x14ac:dyDescent="0.2">
      <c r="A11" t="s">
        <v>4</v>
      </c>
      <c r="B11" s="2">
        <v>325</v>
      </c>
      <c r="C11" s="2">
        <v>1.3531E-2</v>
      </c>
      <c r="D11" s="2">
        <v>987.15</v>
      </c>
      <c r="E11" s="2">
        <v>5.2994999999999995E-4</v>
      </c>
      <c r="F11" s="2">
        <v>6.7631999999999998E-2</v>
      </c>
      <c r="G11">
        <f t="shared" si="0"/>
        <v>5.3684850326698062E-7</v>
      </c>
    </row>
    <row r="12" spans="1:10" x14ac:dyDescent="0.2">
      <c r="A12" t="s">
        <v>4</v>
      </c>
      <c r="B12" s="2">
        <v>330</v>
      </c>
      <c r="C12" s="2">
        <v>1.7212999999999999E-2</v>
      </c>
      <c r="D12" s="2">
        <v>984.75</v>
      </c>
      <c r="E12" s="2">
        <v>4.8912999999999995E-4</v>
      </c>
      <c r="F12" s="2">
        <v>6.6780999999999993E-2</v>
      </c>
      <c r="G12">
        <f t="shared" si="0"/>
        <v>4.9670474739781666E-7</v>
      </c>
    </row>
    <row r="13" spans="1:10" x14ac:dyDescent="0.2">
      <c r="A13" t="s">
        <v>4</v>
      </c>
      <c r="B13" s="2">
        <v>335</v>
      </c>
      <c r="C13" s="2">
        <v>2.1718000000000001E-2</v>
      </c>
      <c r="D13" s="2">
        <v>982.2</v>
      </c>
      <c r="E13" s="2">
        <v>4.5328000000000002E-4</v>
      </c>
      <c r="F13" s="2">
        <v>6.5917000000000003E-2</v>
      </c>
      <c r="G13">
        <f t="shared" si="0"/>
        <v>4.614946039503156E-7</v>
      </c>
    </row>
    <row r="14" spans="1:10" x14ac:dyDescent="0.2">
      <c r="A14" t="s">
        <v>4</v>
      </c>
      <c r="B14" s="2">
        <v>340</v>
      </c>
      <c r="C14" s="2">
        <v>2.7188E-2</v>
      </c>
      <c r="D14" s="2">
        <v>979.5</v>
      </c>
      <c r="E14" s="2">
        <v>4.2161E-4</v>
      </c>
      <c r="F14" s="2">
        <v>6.5040000000000001E-2</v>
      </c>
      <c r="G14">
        <f t="shared" si="0"/>
        <v>4.3043389484430832E-7</v>
      </c>
    </row>
    <row r="15" spans="1:10" x14ac:dyDescent="0.2">
      <c r="A15" t="s">
        <v>4</v>
      </c>
      <c r="B15" s="2">
        <v>345</v>
      </c>
      <c r="C15" s="2">
        <v>3.3783000000000001E-2</v>
      </c>
      <c r="D15" s="2">
        <v>976.67</v>
      </c>
      <c r="E15" s="2">
        <v>3.9351000000000002E-4</v>
      </c>
      <c r="F15" s="2">
        <v>6.4149999999999999E-2</v>
      </c>
      <c r="G15">
        <f t="shared" si="0"/>
        <v>4.0290988767956428E-7</v>
      </c>
    </row>
    <row r="16" spans="1:10" x14ac:dyDescent="0.2">
      <c r="A16" t="s">
        <v>4</v>
      </c>
      <c r="B16" s="2">
        <v>350</v>
      </c>
      <c r="C16" s="2">
        <v>4.1681999999999997E-2</v>
      </c>
      <c r="D16" s="2">
        <v>973.7</v>
      </c>
      <c r="E16" s="2">
        <v>3.6844999999999998E-4</v>
      </c>
      <c r="F16" s="2">
        <v>6.3247999999999999E-2</v>
      </c>
      <c r="G16">
        <f t="shared" si="0"/>
        <v>3.7840197185991574E-7</v>
      </c>
    </row>
    <row r="17" spans="1:15" ht="22" x14ac:dyDescent="0.25">
      <c r="A17" t="s">
        <v>7</v>
      </c>
      <c r="B17" s="2">
        <v>280</v>
      </c>
      <c r="C17" s="2">
        <v>8.6230999999999999E-3</v>
      </c>
      <c r="D17" s="2">
        <v>671.05</v>
      </c>
      <c r="E17" s="2">
        <v>3.5868E-4</v>
      </c>
      <c r="F17" s="2">
        <v>1.9795E-2</v>
      </c>
      <c r="G17">
        <f t="shared" si="0"/>
        <v>5.3450562551225694E-7</v>
      </c>
      <c r="H17" s="1"/>
      <c r="I17" s="1"/>
      <c r="J17" s="1"/>
      <c r="K17" s="1"/>
      <c r="L17" s="1"/>
      <c r="O17" s="1"/>
    </row>
    <row r="18" spans="1:15" ht="22" x14ac:dyDescent="0.25">
      <c r="A18" t="s">
        <v>7</v>
      </c>
      <c r="B18" s="2">
        <v>285</v>
      </c>
      <c r="C18" s="2">
        <v>1.1039E-2</v>
      </c>
      <c r="D18" s="2">
        <v>666.61</v>
      </c>
      <c r="E18" s="2">
        <v>3.4016999999999999E-4</v>
      </c>
      <c r="F18" s="2">
        <v>1.9264E-2</v>
      </c>
      <c r="G18">
        <f t="shared" si="0"/>
        <v>5.1029837536190578E-7</v>
      </c>
      <c r="H18" s="1"/>
      <c r="I18" s="1"/>
      <c r="J18" s="1"/>
      <c r="K18" s="1"/>
      <c r="L18" s="1"/>
      <c r="O18" s="1"/>
    </row>
    <row r="19" spans="1:15" ht="22" x14ac:dyDescent="0.25">
      <c r="A19" t="s">
        <v>7</v>
      </c>
      <c r="B19" s="2">
        <v>290</v>
      </c>
      <c r="C19" s="2">
        <v>1.3988E-2</v>
      </c>
      <c r="D19" s="2">
        <v>662.13</v>
      </c>
      <c r="E19" s="2">
        <v>3.2304000000000002E-4</v>
      </c>
      <c r="F19" s="2">
        <v>1.8735999999999999E-2</v>
      </c>
      <c r="G19">
        <f t="shared" si="0"/>
        <v>4.8788002356032805E-7</v>
      </c>
      <c r="H19" s="1"/>
      <c r="I19" s="1"/>
      <c r="J19" s="1"/>
      <c r="K19" s="1"/>
      <c r="L19" s="1"/>
      <c r="O19" s="1"/>
    </row>
    <row r="20" spans="1:15" ht="22" x14ac:dyDescent="0.25">
      <c r="A20" t="s">
        <v>7</v>
      </c>
      <c r="B20" s="2">
        <v>295</v>
      </c>
      <c r="C20" s="2">
        <v>1.7555999999999999E-2</v>
      </c>
      <c r="D20" s="2">
        <v>657.62</v>
      </c>
      <c r="E20" s="2">
        <v>3.0714000000000002E-4</v>
      </c>
      <c r="F20" s="2">
        <v>1.8211000000000001E-2</v>
      </c>
      <c r="G20">
        <f t="shared" si="0"/>
        <v>4.6704783917764058E-7</v>
      </c>
      <c r="H20" s="1"/>
      <c r="I20" s="1"/>
      <c r="J20" s="1"/>
      <c r="K20" s="1"/>
      <c r="L20" s="1"/>
      <c r="O20" s="1"/>
    </row>
    <row r="21" spans="1:15" ht="22" x14ac:dyDescent="0.25">
      <c r="A21" t="s">
        <v>7</v>
      </c>
      <c r="B21" s="2">
        <v>300</v>
      </c>
      <c r="C21" s="2">
        <v>2.1836999999999999E-2</v>
      </c>
      <c r="D21" s="2">
        <v>653.08000000000004</v>
      </c>
      <c r="E21" s="2">
        <v>2.9234999999999998E-4</v>
      </c>
      <c r="F21" s="2">
        <v>1.7687999999999999E-2</v>
      </c>
      <c r="G21">
        <f t="shared" si="0"/>
        <v>4.476480676180559E-7</v>
      </c>
      <c r="H21" s="1"/>
      <c r="I21" s="1"/>
      <c r="J21" s="1"/>
      <c r="K21" s="1"/>
      <c r="L21" s="1"/>
      <c r="O21" s="1"/>
    </row>
    <row r="22" spans="1:15" ht="22" x14ac:dyDescent="0.25">
      <c r="A22" t="s">
        <v>7</v>
      </c>
      <c r="B22" s="2">
        <v>305</v>
      </c>
      <c r="C22" s="2">
        <v>2.6932000000000001E-2</v>
      </c>
      <c r="D22" s="2">
        <v>648.5</v>
      </c>
      <c r="E22" s="2">
        <v>2.7855000000000002E-4</v>
      </c>
      <c r="F22" s="2">
        <v>1.7167999999999999E-2</v>
      </c>
      <c r="G22">
        <f t="shared" si="0"/>
        <v>4.2952968388589055E-7</v>
      </c>
      <c r="H22" s="1"/>
      <c r="I22" s="1"/>
      <c r="J22" s="1"/>
      <c r="K22" s="1"/>
      <c r="L22" s="1"/>
      <c r="O22" s="1"/>
    </row>
    <row r="23" spans="1:15" ht="22" x14ac:dyDescent="0.25">
      <c r="A23" t="s">
        <v>7</v>
      </c>
      <c r="B23" s="2">
        <v>310</v>
      </c>
      <c r="C23" s="2">
        <v>3.2951000000000001E-2</v>
      </c>
      <c r="D23" s="2">
        <v>643.88</v>
      </c>
      <c r="E23" s="2">
        <v>2.6565999999999997E-4</v>
      </c>
      <c r="F23" s="2">
        <v>1.6650000000000002E-2</v>
      </c>
      <c r="G23">
        <f t="shared" si="0"/>
        <v>4.1259240852332731E-7</v>
      </c>
      <c r="H23" s="1"/>
      <c r="I23" s="1"/>
      <c r="J23" s="1"/>
      <c r="K23" s="1"/>
      <c r="L23" s="1"/>
      <c r="O23" s="1"/>
    </row>
    <row r="24" spans="1:15" ht="22" x14ac:dyDescent="0.25">
      <c r="A24" t="s">
        <v>7</v>
      </c>
      <c r="B24" s="2">
        <v>315</v>
      </c>
      <c r="C24" s="2">
        <v>4.0009000000000003E-2</v>
      </c>
      <c r="D24" s="2">
        <v>639.22</v>
      </c>
      <c r="E24" s="2">
        <v>2.5358999999999999E-4</v>
      </c>
      <c r="F24" s="2">
        <v>1.6135E-2</v>
      </c>
      <c r="G24">
        <f t="shared" si="0"/>
        <v>3.9671787491004657E-7</v>
      </c>
      <c r="H24" s="1"/>
      <c r="I24" s="1"/>
      <c r="J24" s="1"/>
      <c r="K24" s="1"/>
      <c r="L24" s="1"/>
      <c r="O24" s="1"/>
    </row>
    <row r="25" spans="1:15" ht="22" x14ac:dyDescent="0.25">
      <c r="A25" t="s">
        <v>7</v>
      </c>
      <c r="B25" s="2">
        <v>320</v>
      </c>
      <c r="C25" s="2">
        <v>4.8231999999999997E-2</v>
      </c>
      <c r="D25" s="2">
        <v>634.52</v>
      </c>
      <c r="E25" s="2">
        <v>2.4227E-4</v>
      </c>
      <c r="F25" s="2">
        <v>1.5623E-2</v>
      </c>
      <c r="G25">
        <f t="shared" si="0"/>
        <v>3.8181617600706046E-7</v>
      </c>
      <c r="H25" s="1"/>
      <c r="I25" s="1"/>
      <c r="J25" s="1"/>
      <c r="K25" s="1"/>
      <c r="L25" s="1"/>
      <c r="O25" s="1"/>
    </row>
    <row r="26" spans="1:15" ht="22" x14ac:dyDescent="0.25">
      <c r="A26" t="s">
        <v>7</v>
      </c>
      <c r="B26" s="2">
        <v>325</v>
      </c>
      <c r="C26" s="2">
        <v>5.7751999999999998E-2</v>
      </c>
      <c r="D26" s="2">
        <v>629.77</v>
      </c>
      <c r="E26" s="2">
        <v>2.3163E-4</v>
      </c>
      <c r="F26" s="2">
        <v>1.5113E-2</v>
      </c>
      <c r="G26">
        <f t="shared" si="0"/>
        <v>3.678009432014863E-7</v>
      </c>
      <c r="H26" s="1"/>
      <c r="I26" s="1"/>
      <c r="J26" s="1"/>
      <c r="K26" s="1"/>
      <c r="L26" s="1"/>
      <c r="O26" s="1"/>
    </row>
    <row r="27" spans="1:15" ht="22" x14ac:dyDescent="0.25">
      <c r="A27" t="s">
        <v>7</v>
      </c>
      <c r="B27" s="2">
        <v>330</v>
      </c>
      <c r="C27" s="2">
        <v>6.8708000000000005E-2</v>
      </c>
      <c r="D27" s="2">
        <v>624.97</v>
      </c>
      <c r="E27" s="2">
        <v>2.2159999999999999E-4</v>
      </c>
      <c r="F27" s="2">
        <v>1.4607E-2</v>
      </c>
      <c r="G27">
        <f t="shared" si="0"/>
        <v>3.5457701969694541E-7</v>
      </c>
      <c r="H27" s="1"/>
      <c r="I27" s="1"/>
      <c r="J27" s="1"/>
      <c r="K27" s="1"/>
      <c r="L27" s="1"/>
      <c r="O27" s="1"/>
    </row>
    <row r="28" spans="1:15" ht="22" x14ac:dyDescent="0.25">
      <c r="A28" t="s">
        <v>7</v>
      </c>
      <c r="B28" s="2">
        <v>335</v>
      </c>
      <c r="C28" s="2">
        <v>8.1247E-2</v>
      </c>
      <c r="D28" s="2">
        <v>620.12</v>
      </c>
      <c r="E28" s="2">
        <v>2.1215000000000001E-4</v>
      </c>
      <c r="F28" s="2">
        <v>1.4104E-2</v>
      </c>
      <c r="G28">
        <f t="shared" si="0"/>
        <v>3.42111204283042E-7</v>
      </c>
      <c r="H28" s="1"/>
      <c r="I28" s="1"/>
      <c r="J28" s="1"/>
      <c r="K28" s="1"/>
      <c r="L28" s="1"/>
      <c r="O28" s="1"/>
    </row>
    <row r="29" spans="1:15" ht="22" x14ac:dyDescent="0.25">
      <c r="A29" t="s">
        <v>7</v>
      </c>
      <c r="B29" s="2">
        <v>340</v>
      </c>
      <c r="C29" s="2">
        <v>9.5521999999999996E-2</v>
      </c>
      <c r="D29" s="2">
        <v>615.21</v>
      </c>
      <c r="E29" s="2">
        <v>2.0322E-4</v>
      </c>
      <c r="F29" s="2">
        <v>1.3603000000000001E-2</v>
      </c>
      <c r="G29">
        <f t="shared" si="0"/>
        <v>3.303262300677817E-7</v>
      </c>
      <c r="H29" s="1"/>
      <c r="I29" s="1"/>
      <c r="J29" s="1"/>
      <c r="K29" s="1"/>
      <c r="L29" s="1"/>
      <c r="O29" s="1"/>
    </row>
    <row r="30" spans="1:15" ht="22" x14ac:dyDescent="0.25">
      <c r="A30" t="s">
        <v>7</v>
      </c>
      <c r="B30" s="2">
        <v>345</v>
      </c>
      <c r="C30" s="2">
        <v>0.11169</v>
      </c>
      <c r="D30" s="2">
        <v>610.24</v>
      </c>
      <c r="E30" s="2">
        <v>1.9476000000000001E-4</v>
      </c>
      <c r="F30" s="2">
        <v>1.3106E-2</v>
      </c>
      <c r="G30">
        <f t="shared" si="0"/>
        <v>3.1915312008390146E-7</v>
      </c>
      <c r="H30" s="1"/>
      <c r="I30" s="1"/>
      <c r="J30" s="1"/>
      <c r="K30" s="1"/>
      <c r="L30" s="1"/>
      <c r="O30" s="1"/>
    </row>
    <row r="31" spans="1:15" ht="22" x14ac:dyDescent="0.25">
      <c r="A31" t="s">
        <v>7</v>
      </c>
      <c r="B31" s="2">
        <v>350</v>
      </c>
      <c r="C31" s="2">
        <v>0.12992999999999999</v>
      </c>
      <c r="D31" s="2">
        <v>605.21</v>
      </c>
      <c r="E31" s="2">
        <v>1.8675000000000001E-4</v>
      </c>
      <c r="F31" s="2">
        <v>1.2612E-2</v>
      </c>
      <c r="G31">
        <f t="shared" si="0"/>
        <v>3.0857057880735612E-7</v>
      </c>
      <c r="H31" s="1"/>
      <c r="I31" s="1"/>
      <c r="J31" s="1"/>
      <c r="K31" s="1"/>
      <c r="L31" s="1"/>
      <c r="O31" s="1"/>
    </row>
    <row r="32" spans="1:15" ht="22" x14ac:dyDescent="0.25">
      <c r="A32" s="2" t="s">
        <v>8</v>
      </c>
      <c r="B32" s="2">
        <v>280</v>
      </c>
      <c r="C32" s="2">
        <v>0.55069999999999997</v>
      </c>
      <c r="D32" s="2">
        <v>629.20000000000005</v>
      </c>
      <c r="E32" s="2">
        <v>1.5302999999999999E-4</v>
      </c>
      <c r="F32" s="2">
        <v>2.4715999999999998E-2</v>
      </c>
      <c r="G32">
        <f t="shared" si="0"/>
        <v>2.432136045772409E-7</v>
      </c>
      <c r="H32" s="1"/>
      <c r="I32" s="1"/>
      <c r="J32" s="1"/>
      <c r="K32" s="1"/>
      <c r="L32" s="1"/>
      <c r="O32" s="1"/>
    </row>
    <row r="33" spans="1:15" ht="22" x14ac:dyDescent="0.25">
      <c r="A33" s="2" t="s">
        <v>8</v>
      </c>
      <c r="B33" s="2">
        <v>285</v>
      </c>
      <c r="C33" s="2">
        <v>0.65503</v>
      </c>
      <c r="D33" s="2">
        <v>622.16</v>
      </c>
      <c r="E33" s="2">
        <v>1.4522999999999999E-4</v>
      </c>
      <c r="F33" s="2">
        <v>2.3550000000000001E-2</v>
      </c>
      <c r="G33">
        <f t="shared" si="0"/>
        <v>2.3342870001285843E-7</v>
      </c>
      <c r="H33" s="1"/>
      <c r="I33" s="1"/>
      <c r="J33" s="1"/>
      <c r="K33" s="1"/>
      <c r="L33" s="1"/>
      <c r="O33" s="1"/>
    </row>
    <row r="34" spans="1:15" ht="22" x14ac:dyDescent="0.25">
      <c r="A34" s="2" t="s">
        <v>8</v>
      </c>
      <c r="B34" s="2">
        <v>290</v>
      </c>
      <c r="C34" s="2">
        <v>0.77398999999999996</v>
      </c>
      <c r="D34" s="2">
        <v>614.99</v>
      </c>
      <c r="E34" s="2">
        <v>1.3800999999999999E-4</v>
      </c>
      <c r="F34" s="2">
        <v>2.239E-2</v>
      </c>
      <c r="G34">
        <f t="shared" si="0"/>
        <v>2.2441015301061804E-7</v>
      </c>
      <c r="H34" s="1"/>
      <c r="I34" s="1"/>
      <c r="J34" s="1"/>
      <c r="K34" s="1"/>
      <c r="L34" s="1"/>
      <c r="O34" s="1"/>
    </row>
    <row r="35" spans="1:15" ht="22" x14ac:dyDescent="0.25">
      <c r="A35" s="2" t="s">
        <v>8</v>
      </c>
      <c r="B35" s="2">
        <v>295</v>
      </c>
      <c r="C35" s="2">
        <v>0.90890000000000004</v>
      </c>
      <c r="D35" s="2">
        <v>607.66</v>
      </c>
      <c r="E35" s="2">
        <v>1.3129E-4</v>
      </c>
      <c r="F35" s="2">
        <v>2.1236000000000001E-2</v>
      </c>
      <c r="G35">
        <f t="shared" si="0"/>
        <v>2.1605832208800976E-7</v>
      </c>
      <c r="H35" s="1"/>
      <c r="I35" s="1"/>
      <c r="J35" s="1"/>
      <c r="K35" s="1"/>
      <c r="L35" s="1"/>
      <c r="O35" s="1"/>
    </row>
    <row r="36" spans="1:15" ht="22" x14ac:dyDescent="0.25">
      <c r="A36" s="2" t="s">
        <v>8</v>
      </c>
      <c r="B36" s="2">
        <v>300</v>
      </c>
      <c r="C36" s="2">
        <v>1.0610999999999999</v>
      </c>
      <c r="D36" s="2">
        <v>600.16999999999996</v>
      </c>
      <c r="E36" s="2">
        <v>1.25E-4</v>
      </c>
      <c r="F36" s="2">
        <v>2.009E-2</v>
      </c>
      <c r="G36">
        <f t="shared" si="0"/>
        <v>2.0827432227535533E-7</v>
      </c>
      <c r="H36" s="1"/>
      <c r="I36" s="1"/>
      <c r="J36" s="1"/>
      <c r="K36" s="1"/>
      <c r="L36" s="1"/>
      <c r="O36" s="1"/>
    </row>
    <row r="37" spans="1:15" ht="22" x14ac:dyDescent="0.25">
      <c r="A37" s="2" t="s">
        <v>8</v>
      </c>
      <c r="B37" s="2">
        <v>305</v>
      </c>
      <c r="C37" s="2">
        <v>1.2321</v>
      </c>
      <c r="D37" s="2">
        <v>592.51</v>
      </c>
      <c r="E37" s="2">
        <v>1.1909999999999999E-4</v>
      </c>
      <c r="F37" s="2">
        <v>1.8953000000000001E-2</v>
      </c>
      <c r="G37">
        <f t="shared" si="0"/>
        <v>2.0100926566640225E-7</v>
      </c>
      <c r="H37" s="1"/>
      <c r="I37" s="1"/>
      <c r="J37" s="1"/>
      <c r="K37" s="1"/>
      <c r="L37" s="1"/>
      <c r="O37" s="1"/>
    </row>
    <row r="38" spans="1:15" ht="22" x14ac:dyDescent="0.25">
      <c r="A38" s="2" t="s">
        <v>8</v>
      </c>
      <c r="B38" s="2">
        <v>310</v>
      </c>
      <c r="C38" s="2">
        <v>1.4231</v>
      </c>
      <c r="D38" s="2">
        <v>584.66</v>
      </c>
      <c r="E38" s="2">
        <v>1.1352E-4</v>
      </c>
      <c r="F38" s="2">
        <v>1.7825000000000001E-2</v>
      </c>
      <c r="G38">
        <f t="shared" si="0"/>
        <v>1.9416412957958471E-7</v>
      </c>
      <c r="H38" s="1"/>
      <c r="I38" s="1"/>
      <c r="J38" s="1"/>
      <c r="K38" s="1"/>
      <c r="L38" s="1"/>
      <c r="O38" s="1"/>
    </row>
    <row r="39" spans="1:15" ht="22" x14ac:dyDescent="0.25">
      <c r="A39" s="2" t="s">
        <v>8</v>
      </c>
      <c r="B39" s="2">
        <v>315</v>
      </c>
      <c r="C39" s="2">
        <v>1.6358999999999999</v>
      </c>
      <c r="D39" s="2">
        <v>576.61</v>
      </c>
      <c r="E39" s="2">
        <v>1.0823999999999999E-4</v>
      </c>
      <c r="F39" s="2">
        <v>1.6708000000000001E-2</v>
      </c>
      <c r="G39">
        <f t="shared" si="0"/>
        <v>1.8771786822982604E-7</v>
      </c>
      <c r="H39" s="1"/>
      <c r="I39" s="1"/>
      <c r="J39" s="1"/>
      <c r="K39" s="1"/>
      <c r="L39" s="1"/>
      <c r="O39" s="1"/>
    </row>
    <row r="40" spans="1:15" ht="22" x14ac:dyDescent="0.25">
      <c r="A40" s="2" t="s">
        <v>8</v>
      </c>
      <c r="B40" s="2">
        <v>320</v>
      </c>
      <c r="C40" s="2">
        <v>1.8717999999999999</v>
      </c>
      <c r="D40" s="2">
        <v>568.33000000000004</v>
      </c>
      <c r="E40" s="2">
        <v>1.032E-4</v>
      </c>
      <c r="F40" s="2">
        <v>1.5602E-2</v>
      </c>
      <c r="G40">
        <f t="shared" si="0"/>
        <v>1.8158464272517727E-7</v>
      </c>
      <c r="H40" s="1"/>
      <c r="I40" s="1"/>
      <c r="J40" s="1"/>
      <c r="K40" s="1"/>
      <c r="L40" s="1"/>
      <c r="O40" s="1"/>
    </row>
    <row r="41" spans="1:15" ht="22" x14ac:dyDescent="0.25">
      <c r="A41" s="2" t="s">
        <v>8</v>
      </c>
      <c r="B41" s="2">
        <v>325</v>
      </c>
      <c r="C41" s="2">
        <v>2.1324000000000001</v>
      </c>
      <c r="D41" s="2">
        <v>559.79999999999995</v>
      </c>
      <c r="E41" s="5">
        <v>9.8391E-5</v>
      </c>
      <c r="F41" s="2">
        <v>1.4508E-2</v>
      </c>
      <c r="G41">
        <f t="shared" si="0"/>
        <v>1.7576098606645231E-7</v>
      </c>
      <c r="H41" s="1"/>
      <c r="I41" s="1"/>
      <c r="J41" s="1"/>
      <c r="K41" s="1"/>
      <c r="L41" s="1"/>
      <c r="O41" s="1"/>
    </row>
    <row r="42" spans="1:15" ht="22" x14ac:dyDescent="0.25">
      <c r="A42" s="2" t="s">
        <v>8</v>
      </c>
      <c r="B42" s="2">
        <v>330</v>
      </c>
      <c r="C42" s="2">
        <v>2.4194</v>
      </c>
      <c r="D42" s="2">
        <v>551.01</v>
      </c>
      <c r="E42" s="5">
        <v>9.3772999999999998E-5</v>
      </c>
      <c r="F42" s="2">
        <v>1.3427E-2</v>
      </c>
      <c r="G42">
        <f t="shared" si="0"/>
        <v>1.7018384421335365E-7</v>
      </c>
      <c r="H42" s="1"/>
      <c r="I42" s="1"/>
      <c r="J42" s="1"/>
      <c r="K42" s="1"/>
      <c r="L42" s="1"/>
      <c r="O42" s="1"/>
    </row>
    <row r="43" spans="1:15" ht="22" x14ac:dyDescent="0.25">
      <c r="A43" s="2" t="s">
        <v>8</v>
      </c>
      <c r="B43" s="2">
        <v>335</v>
      </c>
      <c r="C43" s="2">
        <v>2.7343999999999999</v>
      </c>
      <c r="D43" s="2">
        <v>541.91</v>
      </c>
      <c r="E43" s="5">
        <v>8.9326000000000005E-5</v>
      </c>
      <c r="F43" s="2">
        <v>1.2361E-2</v>
      </c>
      <c r="G43">
        <f t="shared" si="0"/>
        <v>1.6483548928788914E-7</v>
      </c>
      <c r="H43" s="1"/>
      <c r="I43" s="1"/>
      <c r="J43" s="1"/>
      <c r="K43" s="1"/>
      <c r="L43" s="1"/>
      <c r="O43" s="1"/>
    </row>
    <row r="44" spans="1:15" ht="22" x14ac:dyDescent="0.25">
      <c r="A44" s="2" t="s">
        <v>8</v>
      </c>
      <c r="B44" s="2">
        <v>340</v>
      </c>
      <c r="C44" s="2">
        <v>3.0792000000000002</v>
      </c>
      <c r="D44" s="2">
        <v>532.48</v>
      </c>
      <c r="E44" s="5">
        <v>8.5030000000000004E-5</v>
      </c>
      <c r="F44" s="2">
        <v>1.1310000000000001E-2</v>
      </c>
      <c r="G44">
        <f t="shared" si="0"/>
        <v>1.5968674879807694E-7</v>
      </c>
      <c r="H44" s="1"/>
      <c r="I44" s="1"/>
      <c r="J44" s="1"/>
      <c r="K44" s="1"/>
      <c r="L44" s="1"/>
      <c r="O44" s="1"/>
    </row>
    <row r="45" spans="1:15" ht="22" x14ac:dyDescent="0.25">
      <c r="A45" s="2" t="s">
        <v>8</v>
      </c>
      <c r="B45" s="2">
        <v>345</v>
      </c>
      <c r="C45" s="2">
        <v>3.4554999999999998</v>
      </c>
      <c r="D45" s="2">
        <v>522.66</v>
      </c>
      <c r="E45" s="5">
        <v>8.0865000000000006E-5</v>
      </c>
      <c r="F45" s="2">
        <v>1.0274999999999999E-2</v>
      </c>
      <c r="G45">
        <f t="shared" si="0"/>
        <v>1.5471817242566872E-7</v>
      </c>
      <c r="H45" s="1"/>
      <c r="I45" s="1"/>
      <c r="J45" s="1"/>
      <c r="K45" s="1"/>
      <c r="L45" s="1"/>
      <c r="O45" s="1"/>
    </row>
    <row r="46" spans="1:15" ht="22" x14ac:dyDescent="0.25">
      <c r="A46" s="2" t="s">
        <v>8</v>
      </c>
      <c r="B46" s="2">
        <v>350</v>
      </c>
      <c r="C46" s="2">
        <v>3.8652000000000002</v>
      </c>
      <c r="D46" s="2">
        <v>512.41999999999996</v>
      </c>
      <c r="E46" s="5">
        <v>7.6814E-5</v>
      </c>
      <c r="F46" s="2">
        <v>9.2572000000000002E-3</v>
      </c>
      <c r="G46">
        <f t="shared" si="0"/>
        <v>1.4990437531712268E-7</v>
      </c>
      <c r="H46" s="1"/>
      <c r="I46" s="1"/>
      <c r="J46" s="1"/>
      <c r="K46" s="1"/>
      <c r="L46" s="1"/>
      <c r="O46" s="1"/>
    </row>
    <row r="50" spans="3:10" x14ac:dyDescent="0.2">
      <c r="G50" s="6" t="s">
        <v>12</v>
      </c>
    </row>
    <row r="51" spans="3:10" x14ac:dyDescent="0.2">
      <c r="C51" t="s">
        <v>11</v>
      </c>
      <c r="G51" s="6" t="s">
        <v>14</v>
      </c>
    </row>
    <row r="53" spans="3:10" x14ac:dyDescent="0.2">
      <c r="G53">
        <v>4</v>
      </c>
    </row>
    <row r="54" spans="3:10" x14ac:dyDescent="0.2">
      <c r="G54">
        <f>10^0.04</f>
        <v>1.0964781961431851</v>
      </c>
      <c r="I54" s="7">
        <v>0.1</v>
      </c>
      <c r="J54" t="s">
        <v>15</v>
      </c>
    </row>
    <row r="56" spans="3:10" x14ac:dyDescent="0.2">
      <c r="G5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손종원</dc:creator>
  <cp:lastModifiedBy>손종원</cp:lastModifiedBy>
  <dcterms:created xsi:type="dcterms:W3CDTF">2025-03-07T06:08:30Z</dcterms:created>
  <dcterms:modified xsi:type="dcterms:W3CDTF">2025-03-09T14:21:43Z</dcterms:modified>
</cp:coreProperties>
</file>